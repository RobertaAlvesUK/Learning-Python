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ez/Documents/Python_Tutorial/"/>
    </mc:Choice>
  </mc:AlternateContent>
  <xr:revisionPtr revIDLastSave="0" documentId="13_ncr:1_{8311DF77-371F-7D47-B2A5-03B7A29A0E55}" xr6:coauthVersionLast="47" xr6:coauthVersionMax="47" xr10:uidLastSave="{00000000-0000-0000-0000-000000000000}"/>
  <bookViews>
    <workbookView xWindow="0" yWindow="740" windowWidth="29400" windowHeight="17000" activeTab="1" xr2:uid="{33997394-CE43-3846-B8E0-81113B2DA067}"/>
  </bookViews>
  <sheets>
    <sheet name="Sheet3" sheetId="3" r:id="rId1"/>
    <sheet name="Sheet4" sheetId="4" r:id="rId2"/>
    <sheet name="Sheet1" sheetId="1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 a="1"/>
  <c r="D13" i="2" s="1"/>
  <c r="C13" i="2" a="1"/>
  <c r="C13" i="2" s="1"/>
  <c r="B14" i="2"/>
  <c r="B15" i="2"/>
  <c r="B13" i="2"/>
  <c r="D2" i="2"/>
  <c r="D14" i="1" a="1"/>
  <c r="D14" i="1" s="1"/>
  <c r="C14" i="1" a="1"/>
  <c r="C14" i="1" s="1"/>
  <c r="B15" i="1"/>
  <c r="B16" i="1"/>
  <c r="B14" i="1"/>
  <c r="D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<sst xmlns="http://schemas.openxmlformats.org/spreadsheetml/2006/main" count="36" uniqueCount="26">
  <si>
    <t>Grade</t>
  </si>
  <si>
    <t>Hstudy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</si>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</sst>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Grade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737095363079612E-3"/>
                  <c:y val="-0.21999708369787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69</c:v>
                </c:pt>
                <c:pt idx="1">
                  <c:v>98</c:v>
                </c:pt>
                <c:pt idx="2">
                  <c:v>82</c:v>
                </c:pt>
                <c:pt idx="3">
                  <c:v>77</c:v>
                </c:pt>
                <c:pt idx="4">
                  <c:v>71</c:v>
                </c:pt>
                <c:pt idx="5">
                  <c:v>84</c:v>
                </c:pt>
                <c:pt idx="6">
                  <c:v>55</c:v>
                </c:pt>
                <c:pt idx="7">
                  <c:v>94</c:v>
                </c:pt>
                <c:pt idx="8">
                  <c:v>84</c:v>
                </c:pt>
                <c:pt idx="9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1-644B-8039-728040C4C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937168"/>
        <c:axId val="1361796512"/>
      </c:scatterChart>
      <c:valAx>
        <c:axId val="50793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96512"/>
        <c:crosses val="autoZero"/>
        <c:crossBetween val="midCat"/>
      </c:valAx>
      <c:valAx>
        <c:axId val="13617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3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Grade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092957130358704E-2"/>
                  <c:y val="-0.20147856517935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Sheet2!$A$2:$A$11</c:f>
              <c:numCache>
                <c:formatCode>General</c:formatCode>
                <c:ptCount val="10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</c:numCache>
            </c:num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69</c:v>
                </c:pt>
                <c:pt idx="1">
                  <c:v>98</c:v>
                </c:pt>
                <c:pt idx="2">
                  <c:v>82</c:v>
                </c:pt>
                <c:pt idx="3">
                  <c:v>77</c:v>
                </c:pt>
                <c:pt idx="4">
                  <c:v>71</c:v>
                </c:pt>
                <c:pt idx="5">
                  <c:v>84</c:v>
                </c:pt>
                <c:pt idx="6">
                  <c:v>55</c:v>
                </c:pt>
                <c:pt idx="7">
                  <c:v>94</c:v>
                </c:pt>
                <c:pt idx="8">
                  <c:v>84</c:v>
                </c:pt>
                <c:pt idx="9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9-D24D-8955-6A18273AF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153136"/>
        <c:axId val="692010128"/>
      </c:scatterChart>
      <c:valAx>
        <c:axId val="6911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10128"/>
        <c:crosses val="autoZero"/>
        <c:crossBetween val="midCat"/>
      </c:valAx>
      <c:valAx>
        <c:axId val="6920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15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96762</xdr:colOff>
      <xdr:row>3</xdr:row>
      <xdr:rowOff>76806</xdr:rowOff>
    </xdr:from>
    <xdr:to>
      <xdr:col>9</xdr:col>
      <xdr:colOff>526143</xdr:colOff>
      <xdr:row>16</xdr:row>
      <xdr:rowOff>146958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E26A7-9455-3388-23EE-7410495F9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114710</xdr:colOff>
      <xdr:row>4</xdr:row>
      <xdr:rowOff>56125</xdr:rowOff>
    </xdr:from>
    <xdr:to>
      <xdr:col>9</xdr:col>
      <xdr:colOff>548969</xdr:colOff>
      <xdr:row>17</xdr:row>
      <xdr:rowOff>136422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015EF-23FC-9EF4-5B07-F10F2E7A2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7955-BD4D-AA44-B4E6-E015B4E7F275}">
  <dimension ref="A1:B11"/>
  <sheetViews>
    <sheetView zoomScale="170" zoomScaleNormal="170" workbookViewId="0">
      <selection sqref="A1:B11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>
        <v>2</v>
      </c>
      <c r="B2">
        <v>69</v>
      </c>
    </row>
    <row r="3" spans="1:2" x14ac:dyDescent="0.2">
      <c r="A3">
        <v>9</v>
      </c>
      <c r="B3">
        <v>98</v>
      </c>
    </row>
    <row r="4" spans="1:2" x14ac:dyDescent="0.2">
      <c r="A4">
        <v>5</v>
      </c>
      <c r="B4">
        <v>82</v>
      </c>
    </row>
    <row r="5" spans="1:2" x14ac:dyDescent="0.2">
      <c r="A5">
        <v>5</v>
      </c>
      <c r="B5">
        <v>77</v>
      </c>
    </row>
    <row r="6" spans="1:2" x14ac:dyDescent="0.2">
      <c r="A6">
        <v>3</v>
      </c>
      <c r="B6">
        <v>71</v>
      </c>
    </row>
    <row r="7" spans="1:2" x14ac:dyDescent="0.2">
      <c r="A7">
        <v>7</v>
      </c>
      <c r="B7">
        <v>84</v>
      </c>
    </row>
    <row r="8" spans="1:2" x14ac:dyDescent="0.2">
      <c r="A8">
        <v>1</v>
      </c>
      <c r="B8">
        <v>55</v>
      </c>
    </row>
    <row r="9" spans="1:2" x14ac:dyDescent="0.2">
      <c r="A9">
        <v>8</v>
      </c>
      <c r="B9">
        <v>94</v>
      </c>
    </row>
    <row r="10" spans="1:2" x14ac:dyDescent="0.2">
      <c r="A10">
        <v>6</v>
      </c>
      <c r="B10">
        <v>84</v>
      </c>
    </row>
    <row r="11" spans="1:2" x14ac:dyDescent="0.2">
      <c r="A11">
        <v>2</v>
      </c>
      <c r="B1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49A8-D65D-A048-A0BC-169C2025F2F1}">
  <dimension ref="A1:B11"/>
  <sheetViews>
    <sheetView tabSelected="1" zoomScale="210" zoomScaleNormal="210" workbookViewId="0">
      <selection activeCell="C8" sqref="C8"/>
    </sheetView>
  </sheetViews>
  <sheetFormatPr baseColWidth="10" defaultRowHeight="16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>
        <v>2</v>
      </c>
      <c r="B2">
        <v>69</v>
      </c>
    </row>
    <row r="3" spans="1:2" x14ac:dyDescent="0.2">
      <c r="A3">
        <v>9</v>
      </c>
      <c r="B3">
        <v>98</v>
      </c>
    </row>
    <row r="4" spans="1:2" x14ac:dyDescent="0.2">
      <c r="A4">
        <v>5</v>
      </c>
      <c r="B4">
        <v>82</v>
      </c>
    </row>
    <row r="5" spans="1:2" x14ac:dyDescent="0.2">
      <c r="A5">
        <v>5</v>
      </c>
      <c r="B5">
        <v>77</v>
      </c>
    </row>
    <row r="6" spans="1:2" x14ac:dyDescent="0.2">
      <c r="A6">
        <v>3</v>
      </c>
    </row>
    <row r="7" spans="1:2" x14ac:dyDescent="0.2">
      <c r="A7">
        <v>7</v>
      </c>
      <c r="B7">
        <v>84</v>
      </c>
    </row>
    <row r="8" spans="1:2" x14ac:dyDescent="0.2">
      <c r="A8">
        <v>1</v>
      </c>
      <c r="B8">
        <v>55</v>
      </c>
    </row>
    <row r="9" spans="1:2" x14ac:dyDescent="0.2">
      <c r="B9">
        <v>94</v>
      </c>
    </row>
    <row r="10" spans="1:2" x14ac:dyDescent="0.2">
      <c r="A10">
        <v>6</v>
      </c>
      <c r="B10">
        <v>84</v>
      </c>
    </row>
    <row r="11" spans="1:2" x14ac:dyDescent="0.2">
      <c r="A11">
        <v>2</v>
      </c>
      <c r="B1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5C8E-45B3-1C42-AC82-94E7E43CA2D9}">
  <dimension ref="A1:F16"/>
  <sheetViews>
    <sheetView zoomScale="210" zoomScaleNormal="210" workbookViewId="0">
      <selection sqref="A1:B11"/>
    </sheetView>
  </sheetViews>
  <sheetFormatPr baseColWidth="10" defaultRowHeight="16" x14ac:dyDescent="0.2"/>
  <sheetData>
    <row r="1" spans="1:6" x14ac:dyDescent="0.2">
      <c r="A1" s="1" t="s">
        <v>1</v>
      </c>
      <c r="B1" s="1" t="s">
        <v>0</v>
      </c>
      <c r="D1">
        <f>CORREL(A2:A11,B2:B11)</f>
        <v>0.97495477874395875</v>
      </c>
    </row>
    <row r="2" spans="1:6" x14ac:dyDescent="0.2">
      <c r="A2">
        <v>2</v>
      </c>
      <c r="B2">
        <v>69</v>
      </c>
      <c r="F2">
        <v>4.7426000000000004</v>
      </c>
    </row>
    <row r="3" spans="1:6" x14ac:dyDescent="0.2">
      <c r="A3">
        <v>9</v>
      </c>
      <c r="B3">
        <v>98</v>
      </c>
      <c r="F3">
        <v>55.036000000000001</v>
      </c>
    </row>
    <row r="4" spans="1:6" x14ac:dyDescent="0.2">
      <c r="A4">
        <v>5</v>
      </c>
      <c r="B4">
        <v>82</v>
      </c>
    </row>
    <row r="5" spans="1:6" x14ac:dyDescent="0.2">
      <c r="A5">
        <v>5</v>
      </c>
      <c r="B5">
        <v>77</v>
      </c>
    </row>
    <row r="6" spans="1:6" x14ac:dyDescent="0.2">
      <c r="A6">
        <v>3</v>
      </c>
      <c r="B6">
        <v>71</v>
      </c>
    </row>
    <row r="7" spans="1:6" x14ac:dyDescent="0.2">
      <c r="A7">
        <v>7</v>
      </c>
      <c r="B7">
        <v>84</v>
      </c>
    </row>
    <row r="8" spans="1:6" x14ac:dyDescent="0.2">
      <c r="A8">
        <v>1</v>
      </c>
      <c r="B8">
        <v>55</v>
      </c>
    </row>
    <row r="9" spans="1:6" x14ac:dyDescent="0.2">
      <c r="A9">
        <v>8</v>
      </c>
      <c r="B9">
        <v>94</v>
      </c>
    </row>
    <row r="10" spans="1:6" x14ac:dyDescent="0.2">
      <c r="A10">
        <v>6</v>
      </c>
      <c r="B10">
        <v>84</v>
      </c>
    </row>
    <row r="11" spans="1:6" x14ac:dyDescent="0.2">
      <c r="A11">
        <v>2</v>
      </c>
      <c r="B11">
        <v>64</v>
      </c>
    </row>
    <row r="14" spans="1:6" x14ac:dyDescent="0.2">
      <c r="A14">
        <v>4</v>
      </c>
      <c r="B14">
        <f>($F$2*A14)+$F$3</f>
        <v>74.006399999999999</v>
      </c>
      <c r="C14" cm="1">
        <f t="array" ref="C14:C16">FORECAST(A14:A16,B2:B11,A2:A11)</f>
        <v>74.005917159763314</v>
      </c>
      <c r="D14" cm="1">
        <f t="array" ref="D14:D16">TREND(B2:B11,A2:A11,A14:A16,F3)</f>
        <v>74.005917159763314</v>
      </c>
    </row>
    <row r="15" spans="1:6" x14ac:dyDescent="0.2">
      <c r="A15">
        <v>8.5</v>
      </c>
      <c r="B15">
        <f t="shared" ref="B15:B16" si="0">($F$2*A15)+$F$3</f>
        <v>95.348100000000002</v>
      </c>
      <c r="C15">
        <v>95.347633136094672</v>
      </c>
      <c r="D15">
        <v>95.347633136094657</v>
      </c>
    </row>
    <row r="16" spans="1:6" x14ac:dyDescent="0.2">
      <c r="A16">
        <v>10</v>
      </c>
      <c r="B16">
        <f t="shared" si="0"/>
        <v>102.462</v>
      </c>
      <c r="C16">
        <v>102.46153846153845</v>
      </c>
      <c r="D16">
        <v>102.46153846153845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86E9-82DD-5440-B772-9FC15983E00B}">
  <dimension ref="A1:M38"/>
  <sheetViews>
    <sheetView zoomScale="310" zoomScaleNormal="310" workbookViewId="0">
      <selection activeCell="A19" sqref="A19:XFD20"/>
    </sheetView>
  </sheetViews>
  <sheetFormatPr baseColWidth="10" defaultRowHeight="16" x14ac:dyDescent="0.2"/>
  <sheetData>
    <row r="1" spans="1:6" x14ac:dyDescent="0.2">
      <c r="A1" s="1" t="s">
        <v>1</v>
      </c>
      <c r="B1" s="1" t="s">
        <v>0</v>
      </c>
    </row>
    <row r="2" spans="1:6" x14ac:dyDescent="0.2">
      <c r="A2">
        <v>2</v>
      </c>
      <c r="B2">
        <v>69</v>
      </c>
      <c r="D2">
        <f>CORREL(A2:A11,B2:B11)</f>
        <v>0.97495477874395875</v>
      </c>
      <c r="F2">
        <v>4.7426000000000004</v>
      </c>
    </row>
    <row r="3" spans="1:6" x14ac:dyDescent="0.2">
      <c r="A3">
        <v>9</v>
      </c>
      <c r="B3">
        <v>98</v>
      </c>
      <c r="F3">
        <v>55.036000000000001</v>
      </c>
    </row>
    <row r="4" spans="1:6" x14ac:dyDescent="0.2">
      <c r="A4">
        <v>5</v>
      </c>
      <c r="B4">
        <v>82</v>
      </c>
    </row>
    <row r="5" spans="1:6" x14ac:dyDescent="0.2">
      <c r="A5">
        <v>5</v>
      </c>
      <c r="B5">
        <v>77</v>
      </c>
    </row>
    <row r="6" spans="1:6" x14ac:dyDescent="0.2">
      <c r="A6">
        <v>3</v>
      </c>
      <c r="B6">
        <v>71</v>
      </c>
    </row>
    <row r="7" spans="1:6" x14ac:dyDescent="0.2">
      <c r="A7">
        <v>7</v>
      </c>
      <c r="B7">
        <v>84</v>
      </c>
    </row>
    <row r="8" spans="1:6" x14ac:dyDescent="0.2">
      <c r="A8">
        <v>1</v>
      </c>
      <c r="B8">
        <v>55</v>
      </c>
    </row>
    <row r="9" spans="1:6" x14ac:dyDescent="0.2">
      <c r="A9">
        <v>8</v>
      </c>
      <c r="B9">
        <v>94</v>
      </c>
    </row>
    <row r="10" spans="1:6" x14ac:dyDescent="0.2">
      <c r="A10">
        <v>6</v>
      </c>
      <c r="B10">
        <v>84</v>
      </c>
    </row>
    <row r="11" spans="1:6" x14ac:dyDescent="0.2">
      <c r="A11">
        <v>2</v>
      </c>
      <c r="B11">
        <v>64</v>
      </c>
    </row>
    <row r="13" spans="1:6" x14ac:dyDescent="0.2">
      <c r="A13">
        <v>4</v>
      </c>
      <c r="B13">
        <f>($F$2*A13)+$F$3</f>
        <v>74.006399999999999</v>
      </c>
      <c r="C13" cm="1">
        <f t="array" ref="C13:C15">TREND(B2:B11,A2:A11,A13:A15,F3)</f>
        <v>74.005917159763314</v>
      </c>
      <c r="D13" cm="1">
        <f t="array" ref="D13:D15">FORECAST(A13:A15,B2:B11,A2:A11)</f>
        <v>74.005917159763314</v>
      </c>
    </row>
    <row r="14" spans="1:6" x14ac:dyDescent="0.2">
      <c r="A14">
        <v>8.5</v>
      </c>
      <c r="B14">
        <f t="shared" ref="B14:B15" si="0">($F$2*A14)+$F$3</f>
        <v>95.348100000000002</v>
      </c>
      <c r="C14">
        <v>95.347633136094657</v>
      </c>
      <c r="D14">
        <v>95.347633136094672</v>
      </c>
    </row>
    <row r="15" spans="1:6" x14ac:dyDescent="0.2">
      <c r="A15">
        <v>10</v>
      </c>
      <c r="B15">
        <f t="shared" si="0"/>
        <v>102.462</v>
      </c>
      <c r="C15">
        <v>102.46153846153845</v>
      </c>
      <c r="D15">
        <v>102.46153846153845</v>
      </c>
    </row>
    <row r="19" spans="2:7" x14ac:dyDescent="0.2">
      <c r="B19" t="s">
        <v>2</v>
      </c>
    </row>
    <row r="20" spans="2:7" ht="17" thickBot="1" x14ac:dyDescent="0.25"/>
    <row r="21" spans="2:7" x14ac:dyDescent="0.2">
      <c r="B21" s="4" t="s">
        <v>3</v>
      </c>
      <c r="C21" s="4"/>
    </row>
    <row r="22" spans="2:7" x14ac:dyDescent="0.2">
      <c r="B22" t="s">
        <v>4</v>
      </c>
      <c r="C22">
        <v>0.97495477874395875</v>
      </c>
    </row>
    <row r="23" spans="2:7" x14ac:dyDescent="0.2">
      <c r="B23" t="s">
        <v>5</v>
      </c>
      <c r="C23">
        <v>0.95053682059568145</v>
      </c>
    </row>
    <row r="24" spans="2:7" x14ac:dyDescent="0.2">
      <c r="B24" t="s">
        <v>6</v>
      </c>
      <c r="C24">
        <v>0.94435392317014166</v>
      </c>
    </row>
    <row r="25" spans="2:7" x14ac:dyDescent="0.2">
      <c r="B25" t="s">
        <v>7</v>
      </c>
      <c r="C25">
        <v>3.1448629098727796</v>
      </c>
    </row>
    <row r="26" spans="2:7" ht="17" thickBot="1" x14ac:dyDescent="0.25">
      <c r="B26" s="2" t="s">
        <v>8</v>
      </c>
      <c r="C26" s="2">
        <v>10</v>
      </c>
    </row>
    <row r="28" spans="2:7" ht="17" thickBot="1" x14ac:dyDescent="0.25">
      <c r="B28" t="s">
        <v>9</v>
      </c>
    </row>
    <row r="29" spans="2:7" x14ac:dyDescent="0.2">
      <c r="B29" s="3"/>
      <c r="C29" s="3" t="s">
        <v>14</v>
      </c>
      <c r="D29" s="3" t="s">
        <v>15</v>
      </c>
      <c r="E29" s="3" t="s">
        <v>16</v>
      </c>
      <c r="F29" s="3" t="s">
        <v>17</v>
      </c>
      <c r="G29" s="3" t="s">
        <v>18</v>
      </c>
    </row>
    <row r="30" spans="2:7" x14ac:dyDescent="0.2">
      <c r="B30" t="s">
        <v>10</v>
      </c>
      <c r="C30">
        <v>1</v>
      </c>
      <c r="D30">
        <v>1520.4786982248522</v>
      </c>
      <c r="E30">
        <v>1520.4786982248522</v>
      </c>
      <c r="F30">
        <v>153.73646935646721</v>
      </c>
      <c r="G30">
        <v>1.6701861949602641E-6</v>
      </c>
    </row>
    <row r="31" spans="2:7" x14ac:dyDescent="0.2">
      <c r="B31" t="s">
        <v>11</v>
      </c>
      <c r="C31">
        <v>8</v>
      </c>
      <c r="D31">
        <v>79.121301775147884</v>
      </c>
      <c r="E31">
        <v>9.8901627218934856</v>
      </c>
    </row>
    <row r="32" spans="2:7" ht="17" thickBot="1" x14ac:dyDescent="0.25">
      <c r="B32" s="2" t="s">
        <v>12</v>
      </c>
      <c r="C32" s="2">
        <v>9</v>
      </c>
      <c r="D32" s="2">
        <v>1599.6000000000001</v>
      </c>
      <c r="E32" s="2"/>
      <c r="F32" s="2"/>
      <c r="G32" s="2"/>
    </row>
    <row r="33" spans="2:13" ht="17" thickBot="1" x14ac:dyDescent="0.25"/>
    <row r="34" spans="2:13" x14ac:dyDescent="0.2">
      <c r="B34" s="3"/>
      <c r="C34" s="3" t="s">
        <v>19</v>
      </c>
      <c r="D34" s="3" t="s">
        <v>7</v>
      </c>
      <c r="E34" s="3" t="s">
        <v>20</v>
      </c>
      <c r="F34" s="3" t="s">
        <v>21</v>
      </c>
      <c r="G34" s="3" t="s">
        <v>22</v>
      </c>
      <c r="H34" s="3" t="s">
        <v>23</v>
      </c>
      <c r="I34" s="3" t="s">
        <v>24</v>
      </c>
      <c r="J34" s="3" t="s">
        <v>25</v>
      </c>
    </row>
    <row r="35" spans="2:13" x14ac:dyDescent="0.2">
      <c r="B35" t="s">
        <v>13</v>
      </c>
      <c r="C35">
        <v>55.035502958579883</v>
      </c>
      <c r="D35">
        <v>2.088028886735195</v>
      </c>
      <c r="E35">
        <v>26.35763485275935</v>
      </c>
      <c r="F35">
        <v>4.6138545210759473E-9</v>
      </c>
      <c r="G35">
        <v>50.220499711342768</v>
      </c>
      <c r="H35">
        <v>59.850506205816998</v>
      </c>
      <c r="I35">
        <v>50.220499711342768</v>
      </c>
      <c r="J35">
        <v>59.850506205816998</v>
      </c>
    </row>
    <row r="36" spans="2:13" ht="17" thickBot="1" x14ac:dyDescent="0.25">
      <c r="B36" s="2" t="s">
        <v>1</v>
      </c>
      <c r="C36" s="2">
        <v>4.7426035502958568</v>
      </c>
      <c r="D36" s="2">
        <v>0.38249729708395436</v>
      </c>
      <c r="E36" s="2">
        <v>12.399051147425238</v>
      </c>
      <c r="F36" s="2">
        <v>1.6701861949602673E-6</v>
      </c>
      <c r="G36" s="2">
        <v>3.8605632015158413</v>
      </c>
      <c r="H36" s="2">
        <v>5.6246438990758723</v>
      </c>
      <c r="I36" s="2">
        <v>3.8605632015158413</v>
      </c>
      <c r="J36" s="2">
        <v>5.6246438990758723</v>
      </c>
      <c r="L36" t="s">
        <v>24</v>
      </c>
      <c r="M36" t="s">
        <v>25</v>
      </c>
    </row>
    <row r="37" spans="2:13" x14ac:dyDescent="0.2">
      <c r="L37">
        <v>50.220499711342768</v>
      </c>
      <c r="M37">
        <v>59.850506205816998</v>
      </c>
    </row>
    <row r="38" spans="2:13" x14ac:dyDescent="0.2">
      <c r="L38">
        <v>3.8605632015158413</v>
      </c>
      <c r="M38">
        <v>5.6246438990758723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Parvez Jugon</cp:lastModifiedBy>
  <dcterms:created xsi:type="dcterms:W3CDTF">2021-10-31T21:42:28Z</dcterms:created>
  <dcterms:modified xsi:type="dcterms:W3CDTF">2025-07-02T16:38:40Z</dcterms:modified>
</cp:coreProperties>
</file>